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0a1cd8daf45e1beb/Documents/"/>
    </mc:Choice>
  </mc:AlternateContent>
  <xr:revisionPtr revIDLastSave="1" documentId="8_{0A2E0121-7226-4AA1-BD3B-3834D7D5EE0E}" xr6:coauthVersionLast="47" xr6:coauthVersionMax="47" xr10:uidLastSave="{FEAA9824-ED22-4A8A-8BA6-C195F62E3D93}"/>
  <bookViews>
    <workbookView xWindow="-108" yWindow="-108" windowWidth="23256" windowHeight="12456" activeTab="3" xr2:uid="{E647139B-4714-40C2-82A8-9BEBF2BAE7DC}"/>
  </bookViews>
  <sheets>
    <sheet name="Employee Master" sheetId="1" r:id="rId1"/>
    <sheet name="Training Tracker" sheetId="2" r:id="rId2"/>
    <sheet name="Document Verification" sheetId="3" r:id="rId3"/>
    <sheet name="Dashboard" sheetId="4" r:id="rId4"/>
  </sheets>
  <definedNames>
    <definedName name="\G4">Dashboard!$D$5</definedName>
    <definedName name="Slicer_Status">#N/A</definedName>
    <definedName name="Slicer_Training_Typ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4" l="1"/>
  <c r="K9" i="4"/>
  <c r="H9" i="4"/>
  <c r="E9" i="4"/>
  <c r="B9" i="4"/>
  <c r="K5" i="4"/>
  <c r="E5" i="4"/>
  <c r="B5" i="4"/>
</calcChain>
</file>

<file path=xl/sharedStrings.xml><?xml version="1.0" encoding="utf-8"?>
<sst xmlns="http://schemas.openxmlformats.org/spreadsheetml/2006/main" count="259" uniqueCount="130">
  <si>
    <t>Employee ID</t>
  </si>
  <si>
    <t>Employee Name</t>
  </si>
  <si>
    <t>Department</t>
  </si>
  <si>
    <t>Designation</t>
  </si>
  <si>
    <t>Manager</t>
  </si>
  <si>
    <t>Email</t>
  </si>
  <si>
    <t>Joining Date</t>
  </si>
  <si>
    <t>Location</t>
  </si>
  <si>
    <t>EMP001</t>
  </si>
  <si>
    <t>Rahul Sharma</t>
  </si>
  <si>
    <t>Audit</t>
  </si>
  <si>
    <t>Associate</t>
  </si>
  <si>
    <t>Priya Mehta</t>
  </si>
  <si>
    <t>rahul.sharma@company.com</t>
  </si>
  <si>
    <t>Hyderabad</t>
  </si>
  <si>
    <t>EMP002</t>
  </si>
  <si>
    <t>Sneha Reddy</t>
  </si>
  <si>
    <t>Risk</t>
  </si>
  <si>
    <t>Analyst</t>
  </si>
  <si>
    <t>Amit Kumar</t>
  </si>
  <si>
    <t>sneha.reddy@company.com</t>
  </si>
  <si>
    <t>EMP003</t>
  </si>
  <si>
    <t>Arjun Patel</t>
  </si>
  <si>
    <t>Compliance</t>
  </si>
  <si>
    <t>Executive</t>
  </si>
  <si>
    <t>Neha Singh</t>
  </si>
  <si>
    <t>arjun.patel@company.com</t>
  </si>
  <si>
    <t>Bengaluru</t>
  </si>
  <si>
    <t>EMP004</t>
  </si>
  <si>
    <t>Kavya Rao</t>
  </si>
  <si>
    <t>Finance</t>
  </si>
  <si>
    <t>Rohit Verma</t>
  </si>
  <si>
    <t>kavya.rao@company.com</t>
  </si>
  <si>
    <t>Chennai</t>
  </si>
  <si>
    <t>EMP005</t>
  </si>
  <si>
    <t>Nikhil Joshi</t>
  </si>
  <si>
    <t>Senior Associate</t>
  </si>
  <si>
    <t>nikhil.joshi@company.com</t>
  </si>
  <si>
    <t>EMP006</t>
  </si>
  <si>
    <t>Anjali Das</t>
  </si>
  <si>
    <t>anjali.das@company.com</t>
  </si>
  <si>
    <t>Pune</t>
  </si>
  <si>
    <t>EMP007</t>
  </si>
  <si>
    <t>Vikram Singh</t>
  </si>
  <si>
    <t>vikram.singh@company.com</t>
  </si>
  <si>
    <t>Mumbai</t>
  </si>
  <si>
    <t>EMP008</t>
  </si>
  <si>
    <t>Pooja Nair</t>
  </si>
  <si>
    <t>pooja.nair@company.com</t>
  </si>
  <si>
    <t>EMP009</t>
  </si>
  <si>
    <t>Rohan Gupta</t>
  </si>
  <si>
    <t>rohan.gupta@company.com</t>
  </si>
  <si>
    <t>Delhi</t>
  </si>
  <si>
    <t>EMP010</t>
  </si>
  <si>
    <t>Meera Iyer</t>
  </si>
  <si>
    <t>meera.iyer@company.com</t>
  </si>
  <si>
    <t>EMP011</t>
  </si>
  <si>
    <t>Sandeep Kumar</t>
  </si>
  <si>
    <t>sandeep.kumar@company.com</t>
  </si>
  <si>
    <t>EMP012</t>
  </si>
  <si>
    <t>Divya Nair</t>
  </si>
  <si>
    <t>divya.nair@company.com</t>
  </si>
  <si>
    <t>EMP013</t>
  </si>
  <si>
    <t>Ajay Verma</t>
  </si>
  <si>
    <t>ajay.verma@company.com</t>
  </si>
  <si>
    <t>EMP014</t>
  </si>
  <si>
    <t>Swathi Reddy</t>
  </si>
  <si>
    <t>swathi.reddy@company.com</t>
  </si>
  <si>
    <t>EMP015</t>
  </si>
  <si>
    <t>Karan Malhotra</t>
  </si>
  <si>
    <t>karan.malhotra@company.com</t>
  </si>
  <si>
    <t>Training Type</t>
  </si>
  <si>
    <t>Assigned Date</t>
  </si>
  <si>
    <t>Due Date</t>
  </si>
  <si>
    <t>Status</t>
  </si>
  <si>
    <t>Compliance %</t>
  </si>
  <si>
    <t xml:space="preserve">Training Name </t>
  </si>
  <si>
    <t xml:space="preserve">Completion Date </t>
  </si>
  <si>
    <t>Annual Ethics Training</t>
  </si>
  <si>
    <t>Mandatory</t>
  </si>
  <si>
    <t>Completed</t>
  </si>
  <si>
    <t>Data Privacy Training</t>
  </si>
  <si>
    <t>Overdue</t>
  </si>
  <si>
    <t>Anti-Bribery Training</t>
  </si>
  <si>
    <t>Cyber Security Awareness</t>
  </si>
  <si>
    <t>Information Security</t>
  </si>
  <si>
    <t>Optional</t>
  </si>
  <si>
    <t>Pending</t>
  </si>
  <si>
    <t>Code of Conduct</t>
  </si>
  <si>
    <t>Conflict of Interest</t>
  </si>
  <si>
    <t>CPE Learning Program</t>
  </si>
  <si>
    <t>Compliance Refresher</t>
  </si>
  <si>
    <t>Risk Management Basics</t>
  </si>
  <si>
    <t>Document Name</t>
  </si>
  <si>
    <t>Submitted Date</t>
  </si>
  <si>
    <t>Verified By</t>
  </si>
  <si>
    <t>Verification Status</t>
  </si>
  <si>
    <t>Remarks</t>
  </si>
  <si>
    <t>CPE Certificate</t>
  </si>
  <si>
    <t>Verified</t>
  </si>
  <si>
    <t>All documents complete</t>
  </si>
  <si>
    <t>Data Privacy Certificate</t>
  </si>
  <si>
    <t>Document not submitted</t>
  </si>
  <si>
    <t>Anti-Bribery Certificate</t>
  </si>
  <si>
    <t>Verified successfully</t>
  </si>
  <si>
    <t>Cyber Security Certificate</t>
  </si>
  <si>
    <t>No issues found</t>
  </si>
  <si>
    <t>Information Security Certificate</t>
  </si>
  <si>
    <t>Awaiting approval</t>
  </si>
  <si>
    <t>Code of Conduct Certificate</t>
  </si>
  <si>
    <t>Approved</t>
  </si>
  <si>
    <t>Conflict of Interest Form</t>
  </si>
  <si>
    <t>Rejected</t>
  </si>
  <si>
    <t>Missing signature</t>
  </si>
  <si>
    <t>CPE Learning Certificate</t>
  </si>
  <si>
    <t>Compliance Refresher Certificate</t>
  </si>
  <si>
    <t>Under review</t>
  </si>
  <si>
    <t>Risk Management Certificate</t>
  </si>
  <si>
    <t>Completed successfully</t>
  </si>
  <si>
    <t>CPE Compliance Tracking Dashboard</t>
  </si>
  <si>
    <t>Total Employees</t>
  </si>
  <si>
    <t>Completed Training</t>
  </si>
  <si>
    <t>Pending Training</t>
  </si>
  <si>
    <t>Overdue Training</t>
  </si>
  <si>
    <t>Verified Documents</t>
  </si>
  <si>
    <t>Pending Documents</t>
  </si>
  <si>
    <t>Rejected Documents</t>
  </si>
  <si>
    <t>Compliance Rate</t>
  </si>
  <si>
    <t>Count</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</si>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</sst>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6"/>
      <color theme="0"/>
      <name val="Calibri"/>
      <family val="2"/>
      <scheme val="minor"/>
    </font>
    <font>
      <b/>
      <sz val="12"/>
      <color theme="1"/>
      <name val="Calibri"/>
      <family val="2"/>
      <scheme val="minor"/>
    </font>
    <font>
      <b/>
      <sz val="16"/>
      <color theme="1"/>
      <name val="Calibri"/>
      <family val="2"/>
      <scheme val="minor"/>
    </font>
    <font>
      <b/>
      <sz val="22"/>
      <color theme="0"/>
      <name val="Calibri"/>
      <family val="2"/>
      <scheme val="minor"/>
    </font>
    <font>
      <sz val="22"/>
      <color theme="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00B050"/>
        <bgColor indexed="64"/>
      </patternFill>
    </fill>
    <fill>
      <patternFill patternType="solid">
        <fgColor rgb="FFFF0000"/>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rgb="FFFFC0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2" fillId="0" borderId="0" xfId="0" applyFont="1"/>
    <xf numFmtId="0" fontId="2" fillId="3" borderId="0" xfId="0" applyFont="1" applyFill="1"/>
    <xf numFmtId="15" fontId="0" fillId="0" borderId="0" xfId="0" applyNumberFormat="1"/>
    <xf numFmtId="0" fontId="2" fillId="0" borderId="0" xfId="0" applyFont="1" applyAlignment="1">
      <alignment horizontal="center" vertical="center" wrapText="1"/>
    </xf>
    <xf numFmtId="9" fontId="0" fillId="0" borderId="0" xfId="0" applyNumberFormat="1"/>
    <xf numFmtId="0" fontId="0" fillId="4" borderId="0" xfId="0" applyFill="1"/>
    <xf numFmtId="0" fontId="3" fillId="7" borderId="2" xfId="0" applyFont="1" applyFill="1" applyBorder="1"/>
    <xf numFmtId="0" fontId="0" fillId="0" borderId="2" xfId="0" applyBorder="1"/>
    <xf numFmtId="0" fontId="3" fillId="4" borderId="2" xfId="0" applyFont="1" applyFill="1" applyBorder="1"/>
    <xf numFmtId="0" fontId="3" fillId="8" borderId="2" xfId="0" applyFont="1" applyFill="1" applyBorder="1"/>
    <xf numFmtId="0" fontId="3" fillId="4" borderId="3" xfId="0" applyFont="1" applyFill="1" applyBorder="1"/>
    <xf numFmtId="0" fontId="3" fillId="7" borderId="4" xfId="0" applyFont="1" applyFill="1" applyBorder="1"/>
    <xf numFmtId="0" fontId="0" fillId="0" borderId="0" xfId="0" applyBorder="1"/>
    <xf numFmtId="0" fontId="3" fillId="4" borderId="0" xfId="0" applyFont="1" applyFill="1" applyBorder="1"/>
    <xf numFmtId="0" fontId="3" fillId="8" borderId="0" xfId="0" applyFont="1" applyFill="1" applyBorder="1"/>
    <xf numFmtId="0" fontId="0" fillId="0" borderId="4" xfId="0" applyBorder="1"/>
    <xf numFmtId="0" fontId="0" fillId="0" borderId="5" xfId="0" applyBorder="1"/>
    <xf numFmtId="0" fontId="0" fillId="2" borderId="0" xfId="0" applyFont="1" applyFill="1" applyBorder="1"/>
    <xf numFmtId="0" fontId="3" fillId="5" borderId="0" xfId="0" applyFont="1" applyFill="1" applyBorder="1"/>
    <xf numFmtId="0" fontId="3" fillId="7" borderId="5" xfId="0" applyFont="1" applyFill="1" applyBorder="1"/>
    <xf numFmtId="0" fontId="3" fillId="4" borderId="6" xfId="0" applyFont="1" applyFill="1" applyBorder="1"/>
    <xf numFmtId="0" fontId="0" fillId="0" borderId="7" xfId="0" applyBorder="1"/>
    <xf numFmtId="0" fontId="0" fillId="2" borderId="7" xfId="0" applyFont="1" applyFill="1" applyBorder="1"/>
    <xf numFmtId="0" fontId="3" fillId="5" borderId="7" xfId="0" applyFont="1" applyFill="1" applyBorder="1"/>
    <xf numFmtId="0" fontId="3" fillId="7" borderId="7" xfId="0" applyFont="1" applyFill="1" applyBorder="1"/>
    <xf numFmtId="0" fontId="4" fillId="7" borderId="1" xfId="0" applyFont="1" applyFill="1" applyBorder="1"/>
    <xf numFmtId="0" fontId="5" fillId="7" borderId="0" xfId="0" applyFont="1" applyFill="1" applyBorder="1"/>
    <xf numFmtId="0" fontId="4" fillId="4" borderId="2" xfId="0" applyFont="1" applyFill="1" applyBorder="1"/>
    <xf numFmtId="0" fontId="5" fillId="4" borderId="0" xfId="0" applyFont="1" applyFill="1" applyBorder="1"/>
    <xf numFmtId="0" fontId="4" fillId="8" borderId="2" xfId="0" applyFont="1" applyFill="1" applyBorder="1"/>
    <xf numFmtId="0" fontId="5" fillId="4" borderId="5" xfId="0" applyFont="1" applyFill="1" applyBorder="1"/>
    <xf numFmtId="0" fontId="4" fillId="4" borderId="4" xfId="0" applyFont="1" applyFill="1" applyBorder="1"/>
    <xf numFmtId="0" fontId="5" fillId="4" borderId="7" xfId="0" applyFont="1" applyFill="1" applyBorder="1"/>
    <xf numFmtId="0" fontId="6" fillId="2" borderId="0" xfId="0" applyFont="1" applyFill="1" applyBorder="1"/>
    <xf numFmtId="0" fontId="7" fillId="2" borderId="7" xfId="0" applyFont="1" applyFill="1" applyBorder="1"/>
    <xf numFmtId="0" fontId="4" fillId="5" borderId="0" xfId="0" applyFont="1" applyFill="1" applyBorder="1"/>
    <xf numFmtId="0" fontId="5" fillId="5" borderId="7" xfId="0" applyFont="1" applyFill="1" applyBorder="1"/>
    <xf numFmtId="0" fontId="4" fillId="7" borderId="0" xfId="0" applyFont="1" applyFill="1" applyBorder="1"/>
    <xf numFmtId="9" fontId="5" fillId="7" borderId="8" xfId="1" applyFont="1" applyFill="1" applyBorder="1"/>
    <xf numFmtId="0" fontId="5" fillId="8" borderId="0" xfId="0" applyFont="1" applyFill="1" applyBorder="1"/>
    <xf numFmtId="0" fontId="8" fillId="6" borderId="0" xfId="0" applyFont="1" applyFill="1" applyAlignment="1">
      <alignment horizontal="center"/>
    </xf>
    <xf numFmtId="0" fontId="9" fillId="6" borderId="0" xfId="0" applyFont="1" applyFill="1" applyAlignment="1">
      <alignment horizontal="center"/>
    </xf>
  </cellXfs>
  <cellStyles count="2">
    <cellStyle name="Normal" xfId="0" builtinId="0"/>
    <cellStyle name="Percent" xfId="1" builtinId="5"/>
  </cellStyles>
  <dxfs count="9">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3" formatCode="0%"/>
    </dxf>
    <dxf>
      <numFmt numFmtId="20" formatCode="dd/mmm/yy"/>
    </dxf>
    <dxf>
      <numFmt numFmtId="20" formatCode="dd/mmm/yy"/>
    </dxf>
    <dxf>
      <numFmt numFmtId="20" formatCode="dd/mmm/yy"/>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b="1"/>
              <a:t>Train</a:t>
            </a:r>
            <a:r>
              <a:rPr lang="en-US" b="1" u="none"/>
              <a:t>in</a:t>
            </a:r>
            <a:r>
              <a:rPr lang="en-US" b="1"/>
              <a:t>g</a:t>
            </a:r>
            <a:r>
              <a:rPr lang="en-US" b="1" baseline="0"/>
              <a:t> Status</a:t>
            </a:r>
          </a:p>
        </c:rich>
      </c:tx>
      <c:layout>
        <c:manualLayout>
          <c:xMode val="edge"/>
          <c:yMode val="edge"/>
          <c:x val="0.32787513793554901"/>
          <c:y val="5.6945737214158132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873554404274286"/>
          <c:y val="0.19749733759318427"/>
          <c:w val="0.46252922363326909"/>
          <c:h val="0.62212397172398182"/>
        </c:manualLayout>
      </c:layout>
      <c:pieChart>
        <c:varyColors val="1"/>
        <c:ser>
          <c:idx val="0"/>
          <c:order val="0"/>
          <c:tx>
            <c:strRef>
              <c:f>Dashboard!$BA$1</c:f>
              <c:strCache>
                <c:ptCount val="1"/>
                <c:pt idx="0">
                  <c:v>Count</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3330-42F5-BA09-24D83F5C5C2A}"/>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2-3330-42F5-BA09-24D83F5C5C2A}"/>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3-3330-42F5-BA09-24D83F5C5C2A}"/>
              </c:ext>
            </c:extLst>
          </c:dPt>
          <c:cat>
            <c:strRef>
              <c:f>Dashboard!$AZ$2:$AZ$4</c:f>
              <c:strCache>
                <c:ptCount val="3"/>
                <c:pt idx="0">
                  <c:v>Completed</c:v>
                </c:pt>
                <c:pt idx="1">
                  <c:v>Pending</c:v>
                </c:pt>
                <c:pt idx="2">
                  <c:v>Overdue</c:v>
                </c:pt>
              </c:strCache>
            </c:strRef>
          </c:cat>
          <c:val>
            <c:numRef>
              <c:f>Dashboard!$BA$2:$BA$4</c:f>
              <c:numCache>
                <c:formatCode>General</c:formatCode>
                <c:ptCount val="3"/>
                <c:pt idx="0">
                  <c:v>6</c:v>
                </c:pt>
                <c:pt idx="1">
                  <c:v>2</c:v>
                </c:pt>
                <c:pt idx="2">
                  <c:v>2</c:v>
                </c:pt>
              </c:numCache>
            </c:numRef>
          </c:val>
          <c:extLst>
            <c:ext xmlns:c16="http://schemas.microsoft.com/office/drawing/2014/chart" uri="{C3380CC4-5D6E-409C-BE32-E72D297353CC}">
              <c16:uniqueId val="{00000000-3330-42F5-BA09-24D83F5C5C2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Document</a:t>
            </a:r>
            <a:r>
              <a:rPr lang="en-US" b="1" baseline="0"/>
              <a:t> Verification Status</a:t>
            </a:r>
            <a:endParaRPr lang="en-US" b="1"/>
          </a:p>
        </c:rich>
      </c:tx>
      <c:layout>
        <c:manualLayout>
          <c:xMode val="edge"/>
          <c:yMode val="edge"/>
          <c:x val="0.18473069772528436"/>
          <c:y val="4.76190476190476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Dashboard!$BA$7</c:f>
              <c:strCache>
                <c:ptCount val="1"/>
                <c:pt idx="0">
                  <c:v>Count</c:v>
                </c:pt>
              </c:strCache>
            </c:strRef>
          </c:tx>
          <c:spPr>
            <a:solidFill>
              <a:srgbClr val="00B050"/>
            </a:solidFill>
          </c:spPr>
          <c:dPt>
            <c:idx val="0"/>
            <c:bubble3D val="0"/>
            <c:spPr>
              <a:solidFill>
                <a:srgbClr val="00B050"/>
              </a:solidFill>
              <a:ln w="19050">
                <a:solidFill>
                  <a:schemeClr val="lt1"/>
                </a:solidFill>
              </a:ln>
              <a:effectLst/>
            </c:spPr>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1-5658-4912-ABC8-5CA63F4CD03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2-5658-4912-ABC8-5CA63F4CD038}"/>
              </c:ext>
            </c:extLst>
          </c:dPt>
          <c:cat>
            <c:strRef>
              <c:f>Dashboard!$AZ$8:$AZ$10</c:f>
              <c:strCache>
                <c:ptCount val="3"/>
                <c:pt idx="0">
                  <c:v>Verified</c:v>
                </c:pt>
                <c:pt idx="1">
                  <c:v>Pending</c:v>
                </c:pt>
                <c:pt idx="2">
                  <c:v>Rejected</c:v>
                </c:pt>
              </c:strCache>
            </c:strRef>
          </c:cat>
          <c:val>
            <c:numRef>
              <c:f>Dashboard!$BA$8:$BA$10</c:f>
              <c:numCache>
                <c:formatCode>General</c:formatCode>
                <c:ptCount val="3"/>
                <c:pt idx="0">
                  <c:v>6</c:v>
                </c:pt>
                <c:pt idx="1">
                  <c:v>3</c:v>
                </c:pt>
                <c:pt idx="2">
                  <c:v>1</c:v>
                </c:pt>
              </c:numCache>
            </c:numRef>
          </c:val>
          <c:extLst>
            <c:ext xmlns:c16="http://schemas.microsoft.com/office/drawing/2014/chart" uri="{C3380CC4-5D6E-409C-BE32-E72D297353CC}">
              <c16:uniqueId val="{00000000-5658-4912-ABC8-5CA63F4CD03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3</xdr:col>
      <xdr:colOff>624840</xdr:colOff>
      <xdr:row>12</xdr:row>
      <xdr:rowOff>0</xdr:rowOff>
    </xdr:from>
    <xdr:to>
      <xdr:col>5</xdr:col>
      <xdr:colOff>15240</xdr:colOff>
      <xdr:row>25</xdr:row>
      <xdr:rowOff>89535</xdr:rowOff>
    </xdr:to>
    <mc:AlternateContent xmlns:mc="http://schemas.openxmlformats.org/markup-compatibility/2006">
      <mc:Choice xmlns:sle15="http://schemas.microsoft.com/office/drawing/2012/slicer" Requires="sle15">
        <xdr:graphicFrame macro="">
          <xdr:nvGraphicFramePr>
            <xdr:cNvPr id="2" name="Training Type">
              <a:extLst>
                <a:ext uri="{FF2B5EF4-FFF2-40B4-BE49-F238E27FC236}">
                  <a16:creationId xmlns:a16="http://schemas.microsoft.com/office/drawing/2014/main" id="{93149065-9607-FCC2-0251-F5607E110879}"/>
                </a:ext>
              </a:extLst>
            </xdr:cNvPr>
            <xdr:cNvGraphicFramePr/>
          </xdr:nvGraphicFramePr>
          <xdr:xfrm>
            <a:off x="0" y="0"/>
            <a:ext cx="0" cy="0"/>
          </xdr:xfrm>
          <a:graphic>
            <a:graphicData uri="http://schemas.microsoft.com/office/drawing/2010/slicer">
              <sle:slicer xmlns:sle="http://schemas.microsoft.com/office/drawing/2010/slicer" name="Training Type"/>
            </a:graphicData>
          </a:graphic>
        </xdr:graphicFrame>
      </mc:Choice>
      <mc:Fallback>
        <xdr:sp macro="" textlink="">
          <xdr:nvSpPr>
            <xdr:cNvPr id="0" name=""/>
            <xdr:cNvSpPr>
              <a:spLocks noTextEdit="1"/>
            </xdr:cNvSpPr>
          </xdr:nvSpPr>
          <xdr:spPr>
            <a:xfrm>
              <a:off x="5379720" y="2194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15240</xdr:colOff>
      <xdr:row>12</xdr:row>
      <xdr:rowOff>15240</xdr:rowOff>
    </xdr:from>
    <xdr:to>
      <xdr:col>7</xdr:col>
      <xdr:colOff>556260</xdr:colOff>
      <xdr:row>25</xdr:row>
      <xdr:rowOff>104775</xdr:rowOff>
    </xdr:to>
    <mc:AlternateContent xmlns:mc="http://schemas.openxmlformats.org/markup-compatibility/2006">
      <mc:Choice xmlns:sle15="http://schemas.microsoft.com/office/drawing/2012/slicer" Requires="sle15">
        <xdr:graphicFrame macro="">
          <xdr:nvGraphicFramePr>
            <xdr:cNvPr id="3" name="Status">
              <a:extLst>
                <a:ext uri="{FF2B5EF4-FFF2-40B4-BE49-F238E27FC236}">
                  <a16:creationId xmlns:a16="http://schemas.microsoft.com/office/drawing/2014/main" id="{1CB88066-0288-2ACB-1633-BA33BC9B0EC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8359140" y="220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289560</xdr:colOff>
      <xdr:row>11</xdr:row>
      <xdr:rowOff>7620</xdr:rowOff>
    </xdr:from>
    <xdr:to>
      <xdr:col>9</xdr:col>
      <xdr:colOff>449580</xdr:colOff>
      <xdr:row>24</xdr:row>
      <xdr:rowOff>15240</xdr:rowOff>
    </xdr:to>
    <xdr:graphicFrame macro="">
      <xdr:nvGraphicFramePr>
        <xdr:cNvPr id="3" name="Chart 2">
          <a:extLst>
            <a:ext uri="{FF2B5EF4-FFF2-40B4-BE49-F238E27FC236}">
              <a16:creationId xmlns:a16="http://schemas.microsoft.com/office/drawing/2014/main" id="{ADBCD753-5238-5353-FBBB-5C3325CE4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7620</xdr:rowOff>
    </xdr:from>
    <xdr:to>
      <xdr:col>6</xdr:col>
      <xdr:colOff>0</xdr:colOff>
      <xdr:row>24</xdr:row>
      <xdr:rowOff>30480</xdr:rowOff>
    </xdr:to>
    <xdr:graphicFrame macro="">
      <xdr:nvGraphicFramePr>
        <xdr:cNvPr id="4" name="Chart 3">
          <a:extLst>
            <a:ext uri="{FF2B5EF4-FFF2-40B4-BE49-F238E27FC236}">
              <a16:creationId xmlns:a16="http://schemas.microsoft.com/office/drawing/2014/main" id="{5EA24B68-BA66-935F-C1EE-1BDFB0A03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ype" xr10:uid="{0B89EEFF-3EBB-4D6E-984B-293250E14E90}" sourceName="Training Typ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E8C675B-F34C-48B5-8F80-091E8ACF10FB}" sourceName="Status">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Type" xr10:uid="{1EA78E2A-F9B0-42A4-BB82-76BE753693F7}" cache="Slicer_Training_Type" caption="Training Type" rowHeight="234950"/>
  <slicer name="Status" xr10:uid="{5311BD73-D8B0-4DDC-A942-680072BF2ED7}"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AE839-C825-403D-B1CD-B23658BB4B6D}" name="Table1" displayName="Table1" ref="A1:I11" totalsRowShown="0" headerRowDxfId="0">
  <autoFilter ref="A1:I11" xr:uid="{794AE839-C825-403D-B1CD-B23658BB4B6D}"/>
  <tableColumns count="9">
    <tableColumn id="1" xr3:uid="{08A28CBE-00AC-4A2C-8B30-DC2E1AB258DB}" name="Employee ID"/>
    <tableColumn id="2" xr3:uid="{354E6403-7CA2-41C2-88BE-7D7D09DC7B03}" name="Employee Name"/>
    <tableColumn id="3" xr3:uid="{4777589B-85F4-4CA7-8CFB-B92C1024222F}" name="Training Name "/>
    <tableColumn id="4" xr3:uid="{50BC8BFD-089B-4825-BD91-41EE37C46604}" name="Training Type"/>
    <tableColumn id="5" xr3:uid="{ADDE92E5-C51A-4110-8E3A-74127D1F6F7E}" name="Assigned Date" dataDxfId="4"/>
    <tableColumn id="6" xr3:uid="{E6369228-6C70-4CF1-99B9-9FDE9E0BC21D}" name="Due Date" dataDxfId="3"/>
    <tableColumn id="7" xr3:uid="{D1C67E37-B63D-415D-905B-258C56969FC0}" name="Completion Date " dataDxfId="2"/>
    <tableColumn id="8" xr3:uid="{12F1C846-5C5E-4F45-8A43-0C603D5D9E10}" name="Status"/>
    <tableColumn id="9" xr3:uid="{447DB79D-DB46-4E0A-846E-4253451B097F}" name="Compliance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9D56-D0D8-4EAC-8042-BBAD1CFD7AC9}">
  <sheetPr codeName="Sheet1"/>
  <dimension ref="A1:H16"/>
  <sheetViews>
    <sheetView workbookViewId="0">
      <selection activeCell="B19" sqref="B19"/>
    </sheetView>
  </sheetViews>
  <sheetFormatPr defaultColWidth="20.77734375" defaultRowHeight="14.4" x14ac:dyDescent="0.3"/>
  <sheetData>
    <row r="1" spans="1:8" x14ac:dyDescent="0.3">
      <c r="A1" s="2" t="s">
        <v>0</v>
      </c>
      <c r="B1" s="2" t="s">
        <v>1</v>
      </c>
      <c r="C1" s="2" t="s">
        <v>2</v>
      </c>
      <c r="D1" s="2" t="s">
        <v>3</v>
      </c>
      <c r="E1" s="2" t="s">
        <v>4</v>
      </c>
      <c r="F1" s="2" t="s">
        <v>5</v>
      </c>
      <c r="G1" s="2" t="s">
        <v>6</v>
      </c>
      <c r="H1" s="2" t="s">
        <v>7</v>
      </c>
    </row>
    <row r="2" spans="1:8" x14ac:dyDescent="0.3">
      <c r="A2" t="s">
        <v>8</v>
      </c>
      <c r="B2" t="s">
        <v>9</v>
      </c>
      <c r="C2" t="s">
        <v>10</v>
      </c>
      <c r="D2" t="s">
        <v>11</v>
      </c>
      <c r="E2" t="s">
        <v>12</v>
      </c>
      <c r="F2" t="s">
        <v>13</v>
      </c>
      <c r="G2" s="3">
        <v>45658</v>
      </c>
      <c r="H2" t="s">
        <v>14</v>
      </c>
    </row>
    <row r="3" spans="1:8" x14ac:dyDescent="0.3">
      <c r="A3" t="s">
        <v>15</v>
      </c>
      <c r="B3" t="s">
        <v>16</v>
      </c>
      <c r="C3" t="s">
        <v>17</v>
      </c>
      <c r="D3" t="s">
        <v>18</v>
      </c>
      <c r="E3" t="s">
        <v>19</v>
      </c>
      <c r="F3" t="s">
        <v>20</v>
      </c>
      <c r="G3" s="3">
        <v>45703</v>
      </c>
      <c r="H3" t="s">
        <v>14</v>
      </c>
    </row>
    <row r="4" spans="1:8" x14ac:dyDescent="0.3">
      <c r="A4" t="s">
        <v>21</v>
      </c>
      <c r="B4" t="s">
        <v>22</v>
      </c>
      <c r="C4" t="s">
        <v>23</v>
      </c>
      <c r="D4" t="s">
        <v>24</v>
      </c>
      <c r="E4" t="s">
        <v>25</v>
      </c>
      <c r="F4" t="s">
        <v>26</v>
      </c>
      <c r="G4" s="3">
        <v>45726</v>
      </c>
      <c r="H4" t="s">
        <v>27</v>
      </c>
    </row>
    <row r="5" spans="1:8" x14ac:dyDescent="0.3">
      <c r="A5" t="s">
        <v>28</v>
      </c>
      <c r="B5" t="s">
        <v>29</v>
      </c>
      <c r="C5" t="s">
        <v>30</v>
      </c>
      <c r="D5" t="s">
        <v>11</v>
      </c>
      <c r="E5" t="s">
        <v>31</v>
      </c>
      <c r="F5" t="s">
        <v>32</v>
      </c>
      <c r="G5" s="3">
        <v>45677</v>
      </c>
      <c r="H5" t="s">
        <v>33</v>
      </c>
    </row>
    <row r="6" spans="1:8" x14ac:dyDescent="0.3">
      <c r="A6" t="s">
        <v>34</v>
      </c>
      <c r="B6" t="s">
        <v>35</v>
      </c>
      <c r="C6" t="s">
        <v>23</v>
      </c>
      <c r="D6" t="s">
        <v>36</v>
      </c>
      <c r="E6" t="s">
        <v>12</v>
      </c>
      <c r="F6" t="s">
        <v>37</v>
      </c>
      <c r="G6" s="3">
        <v>45752</v>
      </c>
      <c r="H6" t="s">
        <v>14</v>
      </c>
    </row>
    <row r="7" spans="1:8" x14ac:dyDescent="0.3">
      <c r="A7" t="s">
        <v>38</v>
      </c>
      <c r="B7" t="s">
        <v>39</v>
      </c>
      <c r="C7" t="s">
        <v>10</v>
      </c>
      <c r="D7" t="s">
        <v>24</v>
      </c>
      <c r="E7" t="s">
        <v>19</v>
      </c>
      <c r="F7" t="s">
        <v>40</v>
      </c>
      <c r="G7" s="3">
        <v>45789</v>
      </c>
      <c r="H7" t="s">
        <v>41</v>
      </c>
    </row>
    <row r="8" spans="1:8" x14ac:dyDescent="0.3">
      <c r="A8" t="s">
        <v>42</v>
      </c>
      <c r="B8" t="s">
        <v>43</v>
      </c>
      <c r="C8" t="s">
        <v>17</v>
      </c>
      <c r="D8" t="s">
        <v>11</v>
      </c>
      <c r="E8" t="s">
        <v>25</v>
      </c>
      <c r="F8" t="s">
        <v>44</v>
      </c>
      <c r="G8" s="3">
        <v>45826</v>
      </c>
      <c r="H8" t="s">
        <v>45</v>
      </c>
    </row>
    <row r="9" spans="1:8" x14ac:dyDescent="0.3">
      <c r="A9" t="s">
        <v>46</v>
      </c>
      <c r="B9" t="s">
        <v>47</v>
      </c>
      <c r="C9" t="s">
        <v>23</v>
      </c>
      <c r="D9" t="s">
        <v>18</v>
      </c>
      <c r="E9" t="s">
        <v>31</v>
      </c>
      <c r="F9" t="s">
        <v>48</v>
      </c>
      <c r="G9" s="3">
        <v>45846</v>
      </c>
      <c r="H9" t="s">
        <v>14</v>
      </c>
    </row>
    <row r="10" spans="1:8" x14ac:dyDescent="0.3">
      <c r="A10" t="s">
        <v>49</v>
      </c>
      <c r="B10" t="s">
        <v>50</v>
      </c>
      <c r="C10" t="s">
        <v>30</v>
      </c>
      <c r="D10" t="s">
        <v>24</v>
      </c>
      <c r="E10" t="s">
        <v>12</v>
      </c>
      <c r="F10" t="s">
        <v>51</v>
      </c>
      <c r="G10" s="3">
        <v>45891</v>
      </c>
      <c r="H10" t="s">
        <v>52</v>
      </c>
    </row>
    <row r="11" spans="1:8" x14ac:dyDescent="0.3">
      <c r="A11" t="s">
        <v>53</v>
      </c>
      <c r="B11" t="s">
        <v>54</v>
      </c>
      <c r="C11" t="s">
        <v>10</v>
      </c>
      <c r="D11" t="s">
        <v>11</v>
      </c>
      <c r="E11" t="s">
        <v>19</v>
      </c>
      <c r="F11" t="s">
        <v>55</v>
      </c>
      <c r="G11" s="3">
        <v>45911</v>
      </c>
      <c r="H11" t="s">
        <v>14</v>
      </c>
    </row>
    <row r="12" spans="1:8" x14ac:dyDescent="0.3">
      <c r="A12" t="s">
        <v>56</v>
      </c>
      <c r="B12" t="s">
        <v>57</v>
      </c>
      <c r="C12" t="s">
        <v>23</v>
      </c>
      <c r="D12" t="s">
        <v>24</v>
      </c>
      <c r="E12" t="s">
        <v>25</v>
      </c>
      <c r="F12" t="s">
        <v>58</v>
      </c>
      <c r="G12" s="3">
        <v>45945</v>
      </c>
      <c r="H12" t="s">
        <v>14</v>
      </c>
    </row>
    <row r="13" spans="1:8" x14ac:dyDescent="0.3">
      <c r="A13" t="s">
        <v>59</v>
      </c>
      <c r="B13" t="s">
        <v>60</v>
      </c>
      <c r="C13" t="s">
        <v>17</v>
      </c>
      <c r="D13" t="s">
        <v>36</v>
      </c>
      <c r="E13" t="s">
        <v>31</v>
      </c>
      <c r="F13" t="s">
        <v>61</v>
      </c>
      <c r="G13" s="3">
        <v>45962</v>
      </c>
      <c r="H13" t="s">
        <v>27</v>
      </c>
    </row>
    <row r="14" spans="1:8" x14ac:dyDescent="0.3">
      <c r="A14" t="s">
        <v>62</v>
      </c>
      <c r="B14" t="s">
        <v>63</v>
      </c>
      <c r="C14" t="s">
        <v>30</v>
      </c>
      <c r="D14" t="s">
        <v>18</v>
      </c>
      <c r="E14" t="s">
        <v>12</v>
      </c>
      <c r="F14" t="s">
        <v>64</v>
      </c>
      <c r="G14" s="3">
        <v>45979</v>
      </c>
      <c r="H14" t="s">
        <v>41</v>
      </c>
    </row>
    <row r="15" spans="1:8" x14ac:dyDescent="0.3">
      <c r="A15" t="s">
        <v>65</v>
      </c>
      <c r="B15" t="s">
        <v>66</v>
      </c>
      <c r="C15" t="s">
        <v>23</v>
      </c>
      <c r="D15" t="s">
        <v>11</v>
      </c>
      <c r="E15" t="s">
        <v>19</v>
      </c>
      <c r="F15" t="s">
        <v>67</v>
      </c>
      <c r="G15" s="3">
        <v>45996</v>
      </c>
      <c r="H15" t="s">
        <v>14</v>
      </c>
    </row>
    <row r="16" spans="1:8" x14ac:dyDescent="0.3">
      <c r="A16" t="s">
        <v>68</v>
      </c>
      <c r="B16" t="s">
        <v>69</v>
      </c>
      <c r="C16" t="s">
        <v>10</v>
      </c>
      <c r="D16" t="s">
        <v>18</v>
      </c>
      <c r="E16" t="s">
        <v>25</v>
      </c>
      <c r="F16" t="s">
        <v>70</v>
      </c>
      <c r="G16" s="3">
        <v>46011</v>
      </c>
      <c r="H1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5A35-51E6-49BE-AB9A-3265A580348A}">
  <sheetPr codeName="Sheet2"/>
  <dimension ref="A1:I11"/>
  <sheetViews>
    <sheetView topLeftCell="D1" workbookViewId="0">
      <selection activeCell="C17" sqref="C17"/>
    </sheetView>
  </sheetViews>
  <sheetFormatPr defaultRowHeight="14.4" x14ac:dyDescent="0.3"/>
  <cols>
    <col min="1" max="1" width="15.77734375" customWidth="1"/>
    <col min="2" max="2" width="22.77734375" customWidth="1"/>
    <col min="3" max="3" width="30.77734375" customWidth="1"/>
    <col min="4" max="4" width="18.77734375" customWidth="1"/>
    <col min="5" max="6" width="16.77734375" customWidth="1"/>
    <col min="7" max="7" width="18.77734375" customWidth="1"/>
    <col min="8" max="9" width="15.77734375" customWidth="1"/>
  </cols>
  <sheetData>
    <row r="1" spans="1:9" x14ac:dyDescent="0.3">
      <c r="A1" s="4" t="s">
        <v>0</v>
      </c>
      <c r="B1" s="4" t="s">
        <v>1</v>
      </c>
      <c r="C1" s="4" t="s">
        <v>76</v>
      </c>
      <c r="D1" s="4" t="s">
        <v>71</v>
      </c>
      <c r="E1" s="4" t="s">
        <v>72</v>
      </c>
      <c r="F1" s="4" t="s">
        <v>73</v>
      </c>
      <c r="G1" s="4" t="s">
        <v>77</v>
      </c>
      <c r="H1" s="4" t="s">
        <v>74</v>
      </c>
      <c r="I1" s="4" t="s">
        <v>75</v>
      </c>
    </row>
    <row r="2" spans="1:9" x14ac:dyDescent="0.3">
      <c r="A2" t="s">
        <v>8</v>
      </c>
      <c r="B2" t="s">
        <v>9</v>
      </c>
      <c r="C2" t="s">
        <v>78</v>
      </c>
      <c r="D2" t="s">
        <v>79</v>
      </c>
      <c r="E2" s="3">
        <v>45658</v>
      </c>
      <c r="F2" s="3">
        <v>45672</v>
      </c>
      <c r="G2" s="3">
        <v>45671</v>
      </c>
      <c r="H2" t="s">
        <v>80</v>
      </c>
      <c r="I2" s="5">
        <v>1</v>
      </c>
    </row>
    <row r="3" spans="1:9" x14ac:dyDescent="0.3">
      <c r="A3" t="s">
        <v>15</v>
      </c>
      <c r="B3" t="s">
        <v>16</v>
      </c>
      <c r="C3" t="s">
        <v>81</v>
      </c>
      <c r="D3" t="s">
        <v>79</v>
      </c>
      <c r="E3" s="3">
        <v>45703</v>
      </c>
      <c r="F3" s="3">
        <v>45716</v>
      </c>
      <c r="H3" t="s">
        <v>82</v>
      </c>
      <c r="I3" s="5">
        <v>0</v>
      </c>
    </row>
    <row r="4" spans="1:9" x14ac:dyDescent="0.3">
      <c r="A4" t="s">
        <v>21</v>
      </c>
      <c r="B4" t="s">
        <v>22</v>
      </c>
      <c r="C4" t="s">
        <v>83</v>
      </c>
      <c r="D4" t="s">
        <v>79</v>
      </c>
      <c r="E4" s="3">
        <v>45726</v>
      </c>
      <c r="F4" s="3">
        <v>45740</v>
      </c>
      <c r="G4" s="3">
        <v>45736</v>
      </c>
      <c r="H4" t="s">
        <v>80</v>
      </c>
      <c r="I4" s="5">
        <v>1</v>
      </c>
    </row>
    <row r="5" spans="1:9" x14ac:dyDescent="0.3">
      <c r="A5" t="s">
        <v>28</v>
      </c>
      <c r="B5" t="s">
        <v>29</v>
      </c>
      <c r="C5" t="s">
        <v>84</v>
      </c>
      <c r="D5" t="s">
        <v>79</v>
      </c>
      <c r="E5" s="3">
        <v>45677</v>
      </c>
      <c r="F5" s="3">
        <v>45693</v>
      </c>
      <c r="G5" s="3">
        <v>45691</v>
      </c>
      <c r="H5" t="s">
        <v>80</v>
      </c>
      <c r="I5" s="5">
        <v>1</v>
      </c>
    </row>
    <row r="6" spans="1:9" x14ac:dyDescent="0.3">
      <c r="A6" t="s">
        <v>34</v>
      </c>
      <c r="B6" t="s">
        <v>35</v>
      </c>
      <c r="C6" t="s">
        <v>85</v>
      </c>
      <c r="D6" t="s">
        <v>86</v>
      </c>
      <c r="E6" s="3">
        <v>45752</v>
      </c>
      <c r="F6" s="3">
        <v>45767</v>
      </c>
      <c r="H6" t="s">
        <v>87</v>
      </c>
      <c r="I6" s="5">
        <v>0.5</v>
      </c>
    </row>
    <row r="7" spans="1:9" x14ac:dyDescent="0.3">
      <c r="A7" t="s">
        <v>38</v>
      </c>
      <c r="B7" t="s">
        <v>39</v>
      </c>
      <c r="C7" t="s">
        <v>88</v>
      </c>
      <c r="D7" t="s">
        <v>79</v>
      </c>
      <c r="E7" s="3">
        <v>45789</v>
      </c>
      <c r="F7" s="3">
        <v>45803</v>
      </c>
      <c r="G7" s="3">
        <v>45801</v>
      </c>
      <c r="H7" t="s">
        <v>80</v>
      </c>
      <c r="I7" s="5">
        <v>1</v>
      </c>
    </row>
    <row r="8" spans="1:9" x14ac:dyDescent="0.3">
      <c r="A8" t="s">
        <v>42</v>
      </c>
      <c r="B8" t="s">
        <v>43</v>
      </c>
      <c r="C8" t="s">
        <v>89</v>
      </c>
      <c r="D8" t="s">
        <v>79</v>
      </c>
      <c r="E8" s="3">
        <v>45826</v>
      </c>
      <c r="F8" s="3">
        <v>45840</v>
      </c>
      <c r="H8" t="s">
        <v>82</v>
      </c>
      <c r="I8" s="5">
        <v>0</v>
      </c>
    </row>
    <row r="9" spans="1:9" x14ac:dyDescent="0.3">
      <c r="A9" t="s">
        <v>46</v>
      </c>
      <c r="B9" t="s">
        <v>47</v>
      </c>
      <c r="C9" t="s">
        <v>90</v>
      </c>
      <c r="D9" t="s">
        <v>79</v>
      </c>
      <c r="E9" s="3">
        <v>45846</v>
      </c>
      <c r="F9" s="3">
        <v>45860</v>
      </c>
      <c r="G9" s="3">
        <v>45858</v>
      </c>
      <c r="H9" t="s">
        <v>80</v>
      </c>
      <c r="I9" s="5">
        <v>1</v>
      </c>
    </row>
    <row r="10" spans="1:9" x14ac:dyDescent="0.3">
      <c r="A10" t="s">
        <v>49</v>
      </c>
      <c r="B10" t="s">
        <v>50</v>
      </c>
      <c r="C10" t="s">
        <v>91</v>
      </c>
      <c r="D10" t="s">
        <v>79</v>
      </c>
      <c r="E10" s="3">
        <v>45891</v>
      </c>
      <c r="F10" s="3">
        <v>45905</v>
      </c>
      <c r="H10" t="s">
        <v>87</v>
      </c>
      <c r="I10" s="5">
        <v>0.5</v>
      </c>
    </row>
    <row r="11" spans="1:9" x14ac:dyDescent="0.3">
      <c r="A11" t="s">
        <v>53</v>
      </c>
      <c r="B11" t="s">
        <v>54</v>
      </c>
      <c r="C11" t="s">
        <v>92</v>
      </c>
      <c r="D11" t="s">
        <v>86</v>
      </c>
      <c r="E11" s="3">
        <v>45911</v>
      </c>
      <c r="F11" s="3">
        <v>45925</v>
      </c>
      <c r="G11" s="3">
        <v>45924</v>
      </c>
      <c r="H11" t="s">
        <v>80</v>
      </c>
      <c r="I11" s="5">
        <v>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2A11-117B-4DA9-A69E-6098A5D0B0F4}">
  <sheetPr codeName="Sheet3"/>
  <dimension ref="A1:G11"/>
  <sheetViews>
    <sheetView workbookViewId="0">
      <selection activeCell="G16" sqref="G16"/>
    </sheetView>
  </sheetViews>
  <sheetFormatPr defaultRowHeight="14.4" x14ac:dyDescent="0.3"/>
  <cols>
    <col min="1" max="1" width="15.77734375" customWidth="1"/>
    <col min="2" max="2" width="22.77734375" customWidth="1"/>
    <col min="3" max="3" width="30.77734375" customWidth="1"/>
    <col min="4" max="4" width="18.77734375" customWidth="1"/>
    <col min="5" max="5" width="22.77734375" customWidth="1"/>
    <col min="6" max="6" width="20.77734375" customWidth="1"/>
    <col min="7" max="7" width="30.77734375" customWidth="1"/>
  </cols>
  <sheetData>
    <row r="1" spans="1:7" x14ac:dyDescent="0.3">
      <c r="A1" s="1" t="s">
        <v>0</v>
      </c>
      <c r="B1" s="1" t="s">
        <v>1</v>
      </c>
      <c r="C1" s="1" t="s">
        <v>93</v>
      </c>
      <c r="D1" s="1" t="s">
        <v>94</v>
      </c>
      <c r="E1" s="1" t="s">
        <v>95</v>
      </c>
      <c r="F1" s="1" t="s">
        <v>96</v>
      </c>
      <c r="G1" s="1" t="s">
        <v>97</v>
      </c>
    </row>
    <row r="2" spans="1:7" x14ac:dyDescent="0.3">
      <c r="A2" t="s">
        <v>8</v>
      </c>
      <c r="B2" t="s">
        <v>9</v>
      </c>
      <c r="C2" t="s">
        <v>98</v>
      </c>
      <c r="D2" s="3">
        <v>45672</v>
      </c>
      <c r="E2" t="s">
        <v>12</v>
      </c>
      <c r="F2" s="6" t="s">
        <v>99</v>
      </c>
      <c r="G2" t="s">
        <v>100</v>
      </c>
    </row>
    <row r="3" spans="1:7" x14ac:dyDescent="0.3">
      <c r="A3" t="s">
        <v>15</v>
      </c>
      <c r="B3" t="s">
        <v>16</v>
      </c>
      <c r="C3" t="s">
        <v>101</v>
      </c>
      <c r="D3" s="3">
        <v>45716</v>
      </c>
      <c r="E3" t="s">
        <v>19</v>
      </c>
      <c r="F3" t="s">
        <v>87</v>
      </c>
      <c r="G3" t="s">
        <v>102</v>
      </c>
    </row>
    <row r="4" spans="1:7" x14ac:dyDescent="0.3">
      <c r="A4" t="s">
        <v>21</v>
      </c>
      <c r="B4" t="s">
        <v>22</v>
      </c>
      <c r="C4" t="s">
        <v>103</v>
      </c>
      <c r="D4" s="3">
        <v>45736</v>
      </c>
      <c r="E4" t="s">
        <v>25</v>
      </c>
      <c r="F4" s="6" t="s">
        <v>99</v>
      </c>
      <c r="G4" t="s">
        <v>104</v>
      </c>
    </row>
    <row r="5" spans="1:7" x14ac:dyDescent="0.3">
      <c r="A5" t="s">
        <v>28</v>
      </c>
      <c r="B5" t="s">
        <v>29</v>
      </c>
      <c r="C5" t="s">
        <v>105</v>
      </c>
      <c r="D5" s="3">
        <v>45691</v>
      </c>
      <c r="E5" t="s">
        <v>31</v>
      </c>
      <c r="F5" s="6" t="s">
        <v>99</v>
      </c>
      <c r="G5" t="s">
        <v>106</v>
      </c>
    </row>
    <row r="6" spans="1:7" x14ac:dyDescent="0.3">
      <c r="A6" t="s">
        <v>34</v>
      </c>
      <c r="B6" t="s">
        <v>35</v>
      </c>
      <c r="C6" t="s">
        <v>107</v>
      </c>
      <c r="D6" s="3">
        <v>45767</v>
      </c>
      <c r="E6" t="s">
        <v>12</v>
      </c>
      <c r="F6" t="s">
        <v>87</v>
      </c>
      <c r="G6" t="s">
        <v>108</v>
      </c>
    </row>
    <row r="7" spans="1:7" x14ac:dyDescent="0.3">
      <c r="A7" t="s">
        <v>38</v>
      </c>
      <c r="B7" t="s">
        <v>39</v>
      </c>
      <c r="C7" t="s">
        <v>109</v>
      </c>
      <c r="D7" s="3">
        <v>45801</v>
      </c>
      <c r="E7" t="s">
        <v>19</v>
      </c>
      <c r="F7" s="6" t="s">
        <v>99</v>
      </c>
      <c r="G7" t="s">
        <v>110</v>
      </c>
    </row>
    <row r="8" spans="1:7" x14ac:dyDescent="0.3">
      <c r="A8" t="s">
        <v>42</v>
      </c>
      <c r="B8" t="s">
        <v>43</v>
      </c>
      <c r="C8" t="s">
        <v>111</v>
      </c>
      <c r="D8" s="3">
        <v>45840</v>
      </c>
      <c r="E8" t="s">
        <v>25</v>
      </c>
      <c r="F8" t="s">
        <v>112</v>
      </c>
      <c r="G8" t="s">
        <v>113</v>
      </c>
    </row>
    <row r="9" spans="1:7" x14ac:dyDescent="0.3">
      <c r="A9" t="s">
        <v>46</v>
      </c>
      <c r="B9" t="s">
        <v>47</v>
      </c>
      <c r="C9" t="s">
        <v>114</v>
      </c>
      <c r="D9" s="3">
        <v>45858</v>
      </c>
      <c r="E9" t="s">
        <v>31</v>
      </c>
      <c r="F9" s="6" t="s">
        <v>99</v>
      </c>
      <c r="G9" t="s">
        <v>110</v>
      </c>
    </row>
    <row r="10" spans="1:7" x14ac:dyDescent="0.3">
      <c r="A10" t="s">
        <v>49</v>
      </c>
      <c r="B10" t="s">
        <v>50</v>
      </c>
      <c r="C10" t="s">
        <v>115</v>
      </c>
      <c r="D10" s="3">
        <v>45905</v>
      </c>
      <c r="E10" t="s">
        <v>12</v>
      </c>
      <c r="F10" t="s">
        <v>87</v>
      </c>
      <c r="G10" t="s">
        <v>116</v>
      </c>
    </row>
    <row r="11" spans="1:7" x14ac:dyDescent="0.3">
      <c r="A11" t="s">
        <v>53</v>
      </c>
      <c r="B11" t="s">
        <v>54</v>
      </c>
      <c r="C11" t="s">
        <v>117</v>
      </c>
      <c r="D11" s="3">
        <v>45924</v>
      </c>
      <c r="E11" t="s">
        <v>19</v>
      </c>
      <c r="F11" s="6" t="s">
        <v>99</v>
      </c>
      <c r="G11" t="s">
        <v>118</v>
      </c>
    </row>
  </sheetData>
  <conditionalFormatting sqref="F11">
    <cfRule type="cellIs" dxfId="8" priority="3" operator="equal">
      <formula>"Pending"</formula>
    </cfRule>
    <cfRule type="cellIs" dxfId="7" priority="4" operator="equal">
      <formula>"Verified"</formula>
    </cfRule>
  </conditionalFormatting>
  <conditionalFormatting sqref="F1:F1048576">
    <cfRule type="cellIs" dxfId="6" priority="1" operator="equal">
      <formula>"Rejected"</formula>
    </cfRule>
    <cfRule type="cellIs" dxfId="5" priority="2" operator="equal">
      <formula>"Pending"</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34C27-BD34-44BC-8534-D7E9CFDD2EC8}">
  <sheetPr codeName="Sheet4"/>
  <dimension ref="A1:BA15"/>
  <sheetViews>
    <sheetView showGridLines="0" tabSelected="1" workbookViewId="0">
      <selection activeCell="O15" sqref="O15"/>
    </sheetView>
  </sheetViews>
  <sheetFormatPr defaultRowHeight="14.4" x14ac:dyDescent="0.3"/>
  <cols>
    <col min="13" max="14" width="8.88671875" customWidth="1"/>
  </cols>
  <sheetData>
    <row r="1" spans="1:53" x14ac:dyDescent="0.3">
      <c r="A1" s="41" t="s">
        <v>119</v>
      </c>
      <c r="B1" s="42"/>
      <c r="C1" s="42"/>
      <c r="D1" s="42"/>
      <c r="E1" s="42"/>
      <c r="F1" s="42"/>
      <c r="G1" s="42"/>
      <c r="H1" s="42"/>
      <c r="AZ1" t="s">
        <v>74</v>
      </c>
      <c r="BA1" t="s">
        <v>128</v>
      </c>
    </row>
    <row r="2" spans="1:53" x14ac:dyDescent="0.3">
      <c r="A2" s="42"/>
      <c r="B2" s="42"/>
      <c r="C2" s="42"/>
      <c r="D2" s="42"/>
      <c r="E2" s="42"/>
      <c r="F2" s="42"/>
      <c r="G2" s="42"/>
      <c r="H2" s="42"/>
      <c r="AZ2" t="s">
        <v>80</v>
      </c>
      <c r="BA2">
        <v>6</v>
      </c>
    </row>
    <row r="3" spans="1:53" ht="15" thickBot="1" x14ac:dyDescent="0.35">
      <c r="AZ3" t="s">
        <v>87</v>
      </c>
      <c r="BA3">
        <v>2</v>
      </c>
    </row>
    <row r="4" spans="1:53" ht="15.6" x14ac:dyDescent="0.3">
      <c r="A4" s="26" t="s">
        <v>120</v>
      </c>
      <c r="B4" s="7"/>
      <c r="C4" s="8"/>
      <c r="D4" s="28" t="s">
        <v>121</v>
      </c>
      <c r="E4" s="9"/>
      <c r="F4" s="8"/>
      <c r="G4" s="30" t="s">
        <v>122</v>
      </c>
      <c r="H4" s="10"/>
      <c r="I4" s="8"/>
      <c r="J4" s="28" t="s">
        <v>123</v>
      </c>
      <c r="K4" s="11"/>
      <c r="AZ4" t="s">
        <v>82</v>
      </c>
      <c r="BA4">
        <v>2</v>
      </c>
    </row>
    <row r="5" spans="1:53" ht="21" x14ac:dyDescent="0.4">
      <c r="A5" s="12"/>
      <c r="B5" s="27">
        <f>COUNTA('Employee Master'!A2:A100)</f>
        <v>15</v>
      </c>
      <c r="C5" s="13"/>
      <c r="D5" s="14"/>
      <c r="E5" s="29">
        <f>COUNTIF('Training Tracker'!H:H,"Completed")</f>
        <v>6</v>
      </c>
      <c r="F5" s="13"/>
      <c r="G5" s="15"/>
      <c r="H5" s="40">
        <f>COUNTIF('Training Tracker'!H:H,"Pending")</f>
        <v>2</v>
      </c>
      <c r="I5" s="13"/>
      <c r="J5" s="14"/>
      <c r="K5" s="31">
        <f>COUNTIF('Training Tracker'!H:H,"Overdue")</f>
        <v>2</v>
      </c>
    </row>
    <row r="6" spans="1:53" x14ac:dyDescent="0.3">
      <c r="A6" s="16"/>
      <c r="B6" s="13"/>
      <c r="C6" s="13"/>
      <c r="D6" s="13"/>
      <c r="E6" s="13"/>
      <c r="F6" s="13"/>
      <c r="G6" s="13"/>
      <c r="H6" s="13"/>
      <c r="I6" s="13"/>
      <c r="J6" s="13"/>
      <c r="K6" s="17"/>
    </row>
    <row r="7" spans="1:53" x14ac:dyDescent="0.3">
      <c r="A7" s="16"/>
      <c r="B7" s="13"/>
      <c r="C7" s="13"/>
      <c r="D7" s="13"/>
      <c r="E7" s="13"/>
      <c r="F7" s="13"/>
      <c r="G7" s="13"/>
      <c r="H7" s="13"/>
      <c r="I7" s="13"/>
      <c r="J7" s="13"/>
      <c r="K7" s="17"/>
      <c r="AZ7" t="s">
        <v>96</v>
      </c>
      <c r="BA7" t="s">
        <v>128</v>
      </c>
    </row>
    <row r="8" spans="1:53" ht="15.6" x14ac:dyDescent="0.3">
      <c r="A8" s="32" t="s">
        <v>124</v>
      </c>
      <c r="B8" s="14"/>
      <c r="C8" s="13"/>
      <c r="D8" s="34" t="s">
        <v>125</v>
      </c>
      <c r="E8" s="18"/>
      <c r="F8" s="13"/>
      <c r="G8" s="36" t="s">
        <v>126</v>
      </c>
      <c r="H8" s="19"/>
      <c r="I8" s="13"/>
      <c r="J8" s="38" t="s">
        <v>127</v>
      </c>
      <c r="K8" s="20"/>
      <c r="AZ8" t="s">
        <v>99</v>
      </c>
      <c r="BA8">
        <v>6</v>
      </c>
    </row>
    <row r="9" spans="1:53" ht="21.6" thickBot="1" x14ac:dyDescent="0.45">
      <c r="A9" s="21"/>
      <c r="B9" s="33">
        <f>COUNTIF('Document Verification'!F:F,"Verified")</f>
        <v>6</v>
      </c>
      <c r="C9" s="22"/>
      <c r="D9" s="23"/>
      <c r="E9" s="35">
        <f>COUNTIF('Document Verification'!F:F,"Pending")</f>
        <v>3</v>
      </c>
      <c r="F9" s="22"/>
      <c r="G9" s="24"/>
      <c r="H9" s="37">
        <f>COUNTIF('Document Verification'!F:F,"Rejected")</f>
        <v>1</v>
      </c>
      <c r="I9" s="22"/>
      <c r="J9" s="25"/>
      <c r="K9" s="39">
        <f>COUNTIF('Training Tracker'!H:H,"Completed")/COUNTA('Training Tracker'!A2:A100)</f>
        <v>0.6</v>
      </c>
      <c r="AZ9" t="s">
        <v>87</v>
      </c>
      <c r="BA9">
        <v>3</v>
      </c>
    </row>
    <row r="10" spans="1:53" x14ac:dyDescent="0.3">
      <c r="AZ10" t="s">
        <v>112</v>
      </c>
      <c r="BA10">
        <v>1</v>
      </c>
    </row>
    <row r="15" spans="1:53" x14ac:dyDescent="0.3">
      <c r="O15" t="s">
        <v>129</v>
      </c>
    </row>
  </sheetData>
  <mergeCells count="1">
    <mergeCell ref="A1: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Employee Master</vt:lpstr>
      <vt:lpstr>Training Tracker</vt:lpstr>
      <vt:lpstr>Document Verification</vt:lpstr>
      <vt:lpstr>Dashboard</vt:lpstr>
      <vt:lpstr>\G4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M</dc:creator>
  <cp:lastModifiedBy>SHIVANI M</cp:lastModifiedBy>
  <dcterms:created xsi:type="dcterms:W3CDTF">2026-07-28T07:20:22Z</dcterms:created>
  <dcterms:modified xsi:type="dcterms:W3CDTF">2026-07-28T10:40:23Z</dcterms:modified>
</cp:coreProperties>
</file>